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295223\"/>
    </mc:Choice>
  </mc:AlternateContent>
  <xr:revisionPtr revIDLastSave="0" documentId="13_ncr:1_{741ADE2B-8424-4711-A045-A0C4CF1B9E38}" xr6:coauthVersionLast="47" xr6:coauthVersionMax="47" xr10:uidLastSave="{00000000-0000-0000-0000-000000000000}"/>
  <bookViews>
    <workbookView xWindow="-120" yWindow="-120" windowWidth="20730" windowHeight="11040" xr2:uid="{85F76791-71D8-42ED-8B3F-6A08938DCD64}"/>
  </bookViews>
  <sheets>
    <sheet name="Sheet1" sheetId="1" r:id="rId1"/>
    <sheet name="Sheet2" sheetId="2" r:id="rId2"/>
  </sheets>
  <definedNames>
    <definedName name="_xlnm._FilterDatabase" localSheetId="0" hidden="1">Sheet1!$A$1:$I$32</definedName>
    <definedName name="_xlchart.v1.0" hidden="1">Sheet1!$B$2:$B$10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F2" i="1" s="1"/>
  <c r="E3" i="1"/>
  <c r="F3" i="1" s="1"/>
  <c r="E4" i="1"/>
  <c r="E5" i="1"/>
  <c r="F5" i="1" s="1"/>
  <c r="E6" i="1"/>
  <c r="E7" i="1"/>
  <c r="E8" i="1"/>
  <c r="G8" i="1" s="1"/>
  <c r="E9" i="1"/>
  <c r="F9" i="1" s="1"/>
  <c r="E10" i="1"/>
  <c r="G10" i="1" s="1"/>
  <c r="F10" i="1"/>
  <c r="E11" i="1"/>
  <c r="F11" i="1" s="1"/>
  <c r="E12" i="1"/>
  <c r="F12" i="1" s="1"/>
  <c r="E13" i="1"/>
  <c r="E14" i="1"/>
  <c r="F14" i="1" s="1"/>
  <c r="E15" i="1"/>
  <c r="F15" i="1" s="1"/>
  <c r="G15" i="1"/>
  <c r="E16" i="1"/>
  <c r="F16" i="1" s="1"/>
  <c r="E17" i="1"/>
  <c r="G17" i="1" s="1"/>
  <c r="E18" i="1"/>
  <c r="G18" i="1" s="1"/>
  <c r="E19" i="1"/>
  <c r="E20" i="1"/>
  <c r="E21" i="1"/>
  <c r="F21" i="1" s="1"/>
  <c r="E22" i="1"/>
  <c r="E23" i="1"/>
  <c r="F23" i="1" s="1"/>
  <c r="E24" i="1"/>
  <c r="G24" i="1" s="1"/>
  <c r="E25" i="1"/>
  <c r="F25" i="1" s="1"/>
  <c r="E26" i="1"/>
  <c r="G26" i="1" s="1"/>
  <c r="F26" i="1"/>
  <c r="E27" i="1"/>
  <c r="H27" i="1" s="1"/>
  <c r="F27" i="1"/>
  <c r="E28" i="1"/>
  <c r="H28" i="1" s="1"/>
  <c r="E29" i="1"/>
  <c r="I29" i="1" s="1"/>
  <c r="H29" i="1"/>
  <c r="E30" i="1"/>
  <c r="I30" i="1" s="1"/>
  <c r="E31" i="1"/>
  <c r="F31" i="1" s="1"/>
  <c r="G31" i="1"/>
  <c r="H31" i="1"/>
  <c r="I31" i="1"/>
  <c r="E32" i="1"/>
  <c r="F32" i="1" s="1"/>
  <c r="H32" i="1"/>
  <c r="I32" i="1"/>
  <c r="G2" i="1" l="1"/>
  <c r="F17" i="1"/>
  <c r="G16" i="1"/>
  <c r="G14" i="1"/>
  <c r="F28" i="1"/>
  <c r="F18" i="1"/>
  <c r="F29" i="1"/>
  <c r="G5" i="1"/>
  <c r="G30" i="1"/>
  <c r="F30" i="1"/>
  <c r="G21" i="1"/>
  <c r="I13" i="1"/>
  <c r="G12" i="1"/>
  <c r="G29" i="1"/>
  <c r="H11" i="1"/>
  <c r="G32" i="1"/>
  <c r="H10" i="1"/>
  <c r="I5" i="1"/>
  <c r="H2" i="1"/>
  <c r="H26" i="1"/>
  <c r="H18" i="1"/>
  <c r="I15" i="1"/>
  <c r="G13" i="1"/>
  <c r="H21" i="1"/>
  <c r="I14" i="1"/>
  <c r="G28" i="1"/>
  <c r="F13" i="1"/>
  <c r="I2" i="1"/>
  <c r="H12" i="1"/>
  <c r="H5" i="1"/>
  <c r="I27" i="1"/>
  <c r="H24" i="1"/>
  <c r="I11" i="1"/>
  <c r="H8" i="1"/>
  <c r="H30" i="1"/>
  <c r="G27" i="1"/>
  <c r="F24" i="1"/>
  <c r="I17" i="1"/>
  <c r="H14" i="1"/>
  <c r="G11" i="1"/>
  <c r="F8" i="1"/>
  <c r="I20" i="1"/>
  <c r="I4" i="1"/>
  <c r="I7" i="1"/>
  <c r="H4" i="1"/>
  <c r="H17" i="1"/>
  <c r="I23" i="1"/>
  <c r="H20" i="1"/>
  <c r="I26" i="1"/>
  <c r="H23" i="1"/>
  <c r="G20" i="1"/>
  <c r="I10" i="1"/>
  <c r="H7" i="1"/>
  <c r="G4" i="1"/>
  <c r="G23" i="1"/>
  <c r="F20" i="1"/>
  <c r="G7" i="1"/>
  <c r="F4" i="1"/>
  <c r="I16" i="1"/>
  <c r="H13" i="1"/>
  <c r="F7" i="1"/>
  <c r="H16" i="1"/>
  <c r="I3" i="1"/>
  <c r="H3" i="1"/>
  <c r="I19" i="1"/>
  <c r="I6" i="1"/>
  <c r="G19" i="1"/>
  <c r="H19" i="1"/>
  <c r="I25" i="1"/>
  <c r="H22" i="1"/>
  <c r="I9" i="1"/>
  <c r="H6" i="1"/>
  <c r="G3" i="1"/>
  <c r="I28" i="1"/>
  <c r="H25" i="1"/>
  <c r="G22" i="1"/>
  <c r="F19" i="1"/>
  <c r="I12" i="1"/>
  <c r="H9" i="1"/>
  <c r="G6" i="1"/>
  <c r="I22" i="1"/>
  <c r="G25" i="1"/>
  <c r="F22" i="1"/>
  <c r="G9" i="1"/>
  <c r="F6" i="1"/>
  <c r="I18" i="1"/>
  <c r="H15" i="1"/>
  <c r="I21" i="1"/>
  <c r="I24" i="1"/>
  <c r="I8" i="1"/>
</calcChain>
</file>

<file path=xl/sharedStrings.xml><?xml version="1.0" encoding="utf-8"?>
<sst xmlns="http://schemas.openxmlformats.org/spreadsheetml/2006/main" count="13" uniqueCount="13">
  <si>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</si>
  <si>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</si>
  <si>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</si>
  <si>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</si>
  <si>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</si>
  <si>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</si>
  <si>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</si>
  <si>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</si>
  <si>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</si>
  <si>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Company Name</t>
  </si>
  <si>
    <t>Year</t>
  </si>
  <si>
    <t>Profit or loss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</si>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</sst>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7"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406138472519628E-2"/>
          <c:y val="0.17215076040786925"/>
          <c:w val="0.96859386152748039"/>
          <c:h val="0.69884168985046446"/>
        </c:manualLayout>
      </c:layout>
      <c:lineChart>
        <c:grouping val="stacke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Sheet1!$E$2:$G$17</c:f>
              <c:multiLvlStrCache>
                <c:ptCount val="16"/>
                <c:lvl>
                  <c:pt idx="0">
                    <c:v>Failed</c:v>
                  </c:pt>
                  <c:pt idx="1">
                    <c:v>Failed</c:v>
                  </c:pt>
                  <c:pt idx="2">
                    <c:v>Pass</c:v>
                  </c:pt>
                  <c:pt idx="3">
                    <c:v>Pass</c:v>
                  </c:pt>
                  <c:pt idx="4">
                    <c:v>Pass</c:v>
                  </c:pt>
                  <c:pt idx="5">
                    <c:v>Pass</c:v>
                  </c:pt>
                  <c:pt idx="6">
                    <c:v>Pass</c:v>
                  </c:pt>
                  <c:pt idx="7">
                    <c:v>Pass</c:v>
                  </c:pt>
                  <c:pt idx="8">
                    <c:v>Pass</c:v>
                  </c:pt>
                  <c:pt idx="9">
                    <c:v>Pass</c:v>
                  </c:pt>
                  <c:pt idx="10">
                    <c:v>Pass</c:v>
                  </c:pt>
                  <c:pt idx="11">
                    <c:v>Pass</c:v>
                  </c:pt>
                  <c:pt idx="12">
                    <c:v>Pass</c:v>
                  </c:pt>
                  <c:pt idx="13">
                    <c:v>Pass</c:v>
                  </c:pt>
                  <c:pt idx="14">
                    <c:v>Pass</c:v>
                  </c:pt>
                  <c:pt idx="15">
                    <c:v>Pass</c:v>
                  </c:pt>
                </c:lvl>
                <c:lvl>
                  <c:pt idx="0">
                    <c:v>F</c:v>
                  </c:pt>
                  <c:pt idx="1">
                    <c:v>F</c:v>
                  </c:pt>
                  <c:pt idx="2">
                    <c:v>C</c:v>
                  </c:pt>
                  <c:pt idx="3">
                    <c:v>C+</c:v>
                  </c:pt>
                  <c:pt idx="4">
                    <c:v>C+</c:v>
                  </c:pt>
                  <c:pt idx="5">
                    <c:v>C+</c:v>
                  </c:pt>
                  <c:pt idx="6">
                    <c:v>C+</c:v>
                  </c:pt>
                  <c:pt idx="7">
                    <c:v>A</c:v>
                  </c:pt>
                  <c:pt idx="8">
                    <c:v>A+</c:v>
                  </c:pt>
                  <c:pt idx="9">
                    <c:v>A+</c:v>
                  </c:pt>
                  <c:pt idx="10">
                    <c:v>A+</c:v>
                  </c:pt>
                  <c:pt idx="11">
                    <c:v>A+</c:v>
                  </c:pt>
                  <c:pt idx="12">
                    <c:v>A+</c:v>
                  </c:pt>
                  <c:pt idx="13">
                    <c:v>A+</c:v>
                  </c:pt>
                  <c:pt idx="14">
                    <c:v>A+</c:v>
                  </c:pt>
                  <c:pt idx="15">
                    <c:v>A+</c:v>
                  </c:pt>
                </c:lvl>
                <c:lvl>
                  <c:pt idx="0">
                    <c:v>26.00</c:v>
                  </c:pt>
                  <c:pt idx="1">
                    <c:v>26.00</c:v>
                  </c:pt>
                  <c:pt idx="2">
                    <c:v>48.00</c:v>
                  </c:pt>
                  <c:pt idx="3">
                    <c:v>52.33</c:v>
                  </c:pt>
                  <c:pt idx="4">
                    <c:v>58.00</c:v>
                  </c:pt>
                  <c:pt idx="5">
                    <c:v>58.33</c:v>
                  </c:pt>
                  <c:pt idx="6">
                    <c:v>59.33</c:v>
                  </c:pt>
                  <c:pt idx="7">
                    <c:v>70.67</c:v>
                  </c:pt>
                  <c:pt idx="8">
                    <c:v>84.00</c:v>
                  </c:pt>
                  <c:pt idx="9">
                    <c:v>91.00</c:v>
                  </c:pt>
                  <c:pt idx="10">
                    <c:v>91.00</c:v>
                  </c:pt>
                  <c:pt idx="11">
                    <c:v>91.00</c:v>
                  </c:pt>
                  <c:pt idx="12">
                    <c:v>91.00</c:v>
                  </c:pt>
                  <c:pt idx="13">
                    <c:v>91.00</c:v>
                  </c:pt>
                  <c:pt idx="14">
                    <c:v>91.00</c:v>
                  </c:pt>
                  <c:pt idx="15">
                    <c:v>91.00</c:v>
                  </c:pt>
                </c:lvl>
              </c:multiLvlStrCache>
            </c:multiLvlStrRef>
          </c:cat>
          <c:val>
            <c:numRef>
              <c:f>Sheet1!$H$2:$H$17</c:f>
              <c:numCache>
                <c:formatCode>0.00</c:formatCode>
                <c:ptCount val="16"/>
                <c:pt idx="0">
                  <c:v>84</c:v>
                </c:pt>
                <c:pt idx="1">
                  <c:v>91</c:v>
                </c:pt>
                <c:pt idx="2">
                  <c:v>91</c:v>
                </c:pt>
                <c:pt idx="3">
                  <c:v>91</c:v>
                </c:pt>
                <c:pt idx="4">
                  <c:v>91</c:v>
                </c:pt>
                <c:pt idx="5">
                  <c:v>91</c:v>
                </c:pt>
                <c:pt idx="6">
                  <c:v>91</c:v>
                </c:pt>
                <c:pt idx="7">
                  <c:v>91</c:v>
                </c:pt>
                <c:pt idx="8">
                  <c:v>91</c:v>
                </c:pt>
                <c:pt idx="9">
                  <c:v>91</c:v>
                </c:pt>
                <c:pt idx="10">
                  <c:v>91</c:v>
                </c:pt>
                <c:pt idx="11">
                  <c:v>91</c:v>
                </c:pt>
                <c:pt idx="12">
                  <c:v>91</c:v>
                </c:pt>
                <c:pt idx="13">
                  <c:v>91</c:v>
                </c:pt>
                <c:pt idx="14">
                  <c:v>91</c:v>
                </c:pt>
                <c:pt idx="15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FB-428D-AC65-47907CE0825F}"/>
            </c:ext>
          </c:extLst>
        </c:ser>
        <c:ser>
          <c:idx val="1"/>
          <c:order val="1"/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Sheet1!$E$2:$G$17</c:f>
              <c:multiLvlStrCache>
                <c:ptCount val="16"/>
                <c:lvl>
                  <c:pt idx="0">
                    <c:v>Failed</c:v>
                  </c:pt>
                  <c:pt idx="1">
                    <c:v>Failed</c:v>
                  </c:pt>
                  <c:pt idx="2">
                    <c:v>Pass</c:v>
                  </c:pt>
                  <c:pt idx="3">
                    <c:v>Pass</c:v>
                  </c:pt>
                  <c:pt idx="4">
                    <c:v>Pass</c:v>
                  </c:pt>
                  <c:pt idx="5">
                    <c:v>Pass</c:v>
                  </c:pt>
                  <c:pt idx="6">
                    <c:v>Pass</c:v>
                  </c:pt>
                  <c:pt idx="7">
                    <c:v>Pass</c:v>
                  </c:pt>
                  <c:pt idx="8">
                    <c:v>Pass</c:v>
                  </c:pt>
                  <c:pt idx="9">
                    <c:v>Pass</c:v>
                  </c:pt>
                  <c:pt idx="10">
                    <c:v>Pass</c:v>
                  </c:pt>
                  <c:pt idx="11">
                    <c:v>Pass</c:v>
                  </c:pt>
                  <c:pt idx="12">
                    <c:v>Pass</c:v>
                  </c:pt>
                  <c:pt idx="13">
                    <c:v>Pass</c:v>
                  </c:pt>
                  <c:pt idx="14">
                    <c:v>Pass</c:v>
                  </c:pt>
                  <c:pt idx="15">
                    <c:v>Pass</c:v>
                  </c:pt>
                </c:lvl>
                <c:lvl>
                  <c:pt idx="0">
                    <c:v>F</c:v>
                  </c:pt>
                  <c:pt idx="1">
                    <c:v>F</c:v>
                  </c:pt>
                  <c:pt idx="2">
                    <c:v>C</c:v>
                  </c:pt>
                  <c:pt idx="3">
                    <c:v>C+</c:v>
                  </c:pt>
                  <c:pt idx="4">
                    <c:v>C+</c:v>
                  </c:pt>
                  <c:pt idx="5">
                    <c:v>C+</c:v>
                  </c:pt>
                  <c:pt idx="6">
                    <c:v>C+</c:v>
                  </c:pt>
                  <c:pt idx="7">
                    <c:v>A</c:v>
                  </c:pt>
                  <c:pt idx="8">
                    <c:v>A+</c:v>
                  </c:pt>
                  <c:pt idx="9">
                    <c:v>A+</c:v>
                  </c:pt>
                  <c:pt idx="10">
                    <c:v>A+</c:v>
                  </c:pt>
                  <c:pt idx="11">
                    <c:v>A+</c:v>
                  </c:pt>
                  <c:pt idx="12">
                    <c:v>A+</c:v>
                  </c:pt>
                  <c:pt idx="13">
                    <c:v>A+</c:v>
                  </c:pt>
                  <c:pt idx="14">
                    <c:v>A+</c:v>
                  </c:pt>
                  <c:pt idx="15">
                    <c:v>A+</c:v>
                  </c:pt>
                </c:lvl>
                <c:lvl>
                  <c:pt idx="0">
                    <c:v>26.00</c:v>
                  </c:pt>
                  <c:pt idx="1">
                    <c:v>26.00</c:v>
                  </c:pt>
                  <c:pt idx="2">
                    <c:v>48.00</c:v>
                  </c:pt>
                  <c:pt idx="3">
                    <c:v>52.33</c:v>
                  </c:pt>
                  <c:pt idx="4">
                    <c:v>58.00</c:v>
                  </c:pt>
                  <c:pt idx="5">
                    <c:v>58.33</c:v>
                  </c:pt>
                  <c:pt idx="6">
                    <c:v>59.33</c:v>
                  </c:pt>
                  <c:pt idx="7">
                    <c:v>70.67</c:v>
                  </c:pt>
                  <c:pt idx="8">
                    <c:v>84.00</c:v>
                  </c:pt>
                  <c:pt idx="9">
                    <c:v>91.00</c:v>
                  </c:pt>
                  <c:pt idx="10">
                    <c:v>91.00</c:v>
                  </c:pt>
                  <c:pt idx="11">
                    <c:v>91.00</c:v>
                  </c:pt>
                  <c:pt idx="12">
                    <c:v>91.00</c:v>
                  </c:pt>
                  <c:pt idx="13">
                    <c:v>91.00</c:v>
                  </c:pt>
                  <c:pt idx="14">
                    <c:v>91.00</c:v>
                  </c:pt>
                  <c:pt idx="15">
                    <c:v>91.00</c:v>
                  </c:pt>
                </c:lvl>
              </c:multiLvlStrCache>
            </c:multiLvlStrRef>
          </c:cat>
          <c:val>
            <c:numRef>
              <c:f>Sheet1!$I$2:$I$17</c:f>
              <c:numCache>
                <c:formatCode>0.00</c:formatCode>
                <c:ptCount val="16"/>
                <c:pt idx="0">
                  <c:v>26</c:v>
                </c:pt>
                <c:pt idx="1">
                  <c:v>26</c:v>
                </c:pt>
                <c:pt idx="2">
                  <c:v>48</c:v>
                </c:pt>
                <c:pt idx="3">
                  <c:v>52.333333333333336</c:v>
                </c:pt>
                <c:pt idx="4">
                  <c:v>58</c:v>
                </c:pt>
                <c:pt idx="5">
                  <c:v>58.333333333333336</c:v>
                </c:pt>
                <c:pt idx="6">
                  <c:v>59.333333333333336</c:v>
                </c:pt>
                <c:pt idx="7">
                  <c:v>70.666666666666671</c:v>
                </c:pt>
                <c:pt idx="8">
                  <c:v>84</c:v>
                </c:pt>
                <c:pt idx="9">
                  <c:v>91</c:v>
                </c:pt>
                <c:pt idx="10">
                  <c:v>91</c:v>
                </c:pt>
                <c:pt idx="11">
                  <c:v>91</c:v>
                </c:pt>
                <c:pt idx="12">
                  <c:v>91</c:v>
                </c:pt>
                <c:pt idx="13">
                  <c:v>91</c:v>
                </c:pt>
                <c:pt idx="14">
                  <c:v>91</c:v>
                </c:pt>
                <c:pt idx="15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FB-428D-AC65-47907CE0825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94678880"/>
        <c:axId val="1794679840"/>
      </c:lineChart>
      <c:catAx>
        <c:axId val="17946788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679840"/>
        <c:crosses val="autoZero"/>
        <c:auto val="1"/>
        <c:lblAlgn val="ctr"/>
        <c:lblOffset val="100"/>
        <c:noMultiLvlLbl val="0"/>
      </c:catAx>
      <c:valAx>
        <c:axId val="17946798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67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Sheet2!$I$7:$I$11</c:f>
              <c:numCache>
                <c:formatCode>General</c:formatCode>
                <c:ptCount val="5"/>
                <c:pt idx="0">
                  <c:v>24241</c:v>
                </c:pt>
                <c:pt idx="1">
                  <c:v>7454</c:v>
                </c:pt>
                <c:pt idx="2">
                  <c:v>24475</c:v>
                </c:pt>
                <c:pt idx="3">
                  <c:v>745</c:v>
                </c:pt>
                <c:pt idx="4">
                  <c:v>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7B-458E-AE81-A01D8E60A6FC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.17736111111111111"/>
          <c:w val="0.93888888888888888"/>
          <c:h val="0.71523950131233593"/>
        </c:manualLayout>
      </c:layout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Sheet2!$H$7:$H$11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8E-4ADF-9C49-5C2F655456A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489248752"/>
        <c:axId val="1489265552"/>
      </c:lineChart>
      <c:catAx>
        <c:axId val="1489248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265552"/>
        <c:crosses val="autoZero"/>
        <c:auto val="1"/>
        <c:lblAlgn val="ctr"/>
        <c:lblOffset val="100"/>
        <c:noMultiLvlLbl val="0"/>
      </c:catAx>
      <c:valAx>
        <c:axId val="14892655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8924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Sheet2!$H$6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Sheet2!$H$7:$H$12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49-47DD-B4A8-56AAF8D6F2BA}"/>
            </c:ext>
          </c:extLst>
        </c:ser>
        <c:ser>
          <c:idx val="1"/>
          <c:order val="1"/>
          <c:tx>
            <c:strRef>
              <c:f>Sheet2!$I$6</c:f>
              <c:strCache>
                <c:ptCount val="1"/>
                <c:pt idx="0">
                  <c:v>Profit or loss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Sheet2!$I$7:$I$12</c:f>
              <c:numCache>
                <c:formatCode>General</c:formatCode>
                <c:ptCount val="6"/>
                <c:pt idx="0">
                  <c:v>24241</c:v>
                </c:pt>
                <c:pt idx="1">
                  <c:v>7454</c:v>
                </c:pt>
                <c:pt idx="2">
                  <c:v>24475</c:v>
                </c:pt>
                <c:pt idx="3">
                  <c:v>745</c:v>
                </c:pt>
                <c:pt idx="4">
                  <c:v>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49-47DD-B4A8-56AAF8D6F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89068560"/>
        <c:axId val="1489075280"/>
        <c:axId val="0"/>
      </c:bar3DChart>
      <c:catAx>
        <c:axId val="1489068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075280"/>
        <c:crosses val="autoZero"/>
        <c:auto val="1"/>
        <c:lblAlgn val="ctr"/>
        <c:lblOffset val="100"/>
        <c:noMultiLvlLbl val="0"/>
      </c:catAx>
      <c:valAx>
        <c:axId val="148907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068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size">
        <cx:f>_xlchart.v1.0</cx:f>
      </cx:numDim>
    </cx:data>
  </cx:chartData>
  <cx:chart>
    <cx:title pos="t" align="ctr" overlay="0"/>
    <cx:plotArea>
      <cx:plotAreaRegion>
        <cx:series layoutId="sunburst" uniqueId="{2A5C8E6B-482A-4F66-BE33-237F39EF8629}">
          <cx:dataLabels pos="ctr">
            <cx:visibility seriesName="0" categoryName="1" value="0"/>
          </cx:dataLabels>
          <cx:dataId val="0"/>
        </cx:series>
      </cx:plotAreaRegion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 b="1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123825</xdr:rowOff>
    </xdr:from>
    <xdr:to>
      <xdr:col>15</xdr:col>
      <xdr:colOff>452438</xdr:colOff>
      <xdr:row>19</xdr:row>
      <xdr:rowOff>23812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492B26E6-31D8-43A1-9589-CCA751B8D3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10313" y="123825"/>
              <a:ext cx="3548063" cy="35194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415459</xdr:colOff>
      <xdr:row>0</xdr:row>
      <xdr:rowOff>67235</xdr:rowOff>
    </xdr:from>
    <xdr:to>
      <xdr:col>34</xdr:col>
      <xdr:colOff>286742</xdr:colOff>
      <xdr:row>26</xdr:row>
      <xdr:rowOff>117380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123D23-0C5F-B3F2-AEEC-27E1AF68203A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276225</xdr:colOff>
      <xdr:row>4</xdr:row>
      <xdr:rowOff>123825</xdr:rowOff>
    </xdr:from>
    <xdr:to>
      <xdr:col>14</xdr:col>
      <xdr:colOff>600075</xdr:colOff>
      <xdr:row>13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ECBFFF-B36D-30D4-5C3A-651A2B02DE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381000</xdr:colOff>
      <xdr:row>4</xdr:row>
      <xdr:rowOff>38100</xdr:rowOff>
    </xdr:from>
    <xdr:to>
      <xdr:col>5</xdr:col>
      <xdr:colOff>514350</xdr:colOff>
      <xdr:row>16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AF4B42-891A-0888-AB7E-ED22B643B9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9526</xdr:colOff>
      <xdr:row>17</xdr:row>
      <xdr:rowOff>0</xdr:rowOff>
    </xdr:from>
    <xdr:to>
      <xdr:col>14</xdr:col>
      <xdr:colOff>523875</xdr:colOff>
      <xdr:row>27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9C1161-F77A-8EC0-65F6-8DB98D26C4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56CD74-5F8D-4C9C-8B5A-0E0D35BF07DA}" name="Table2" displayName="Table2" ref="A1:I32" totalsRowShown="0" headerRowDxfId="16" dataDxfId="15">
  <tableColumns count="9">
    <tableColumn id="1" xr3:uid="{74523DDA-3FF4-42A1-8022-FBD08A6BE232}" name="Column1" dataDxfId="14"/>
    <tableColumn id="2" xr3:uid="{9AFA5CEA-CB69-4EBD-9B9F-52C1B7FDADA4}" name="Column2" dataDxfId="13"/>
    <tableColumn id="3" xr3:uid="{0C1DC236-7B2C-4387-AA22-B19EBC665EFA}" name="Column3" dataDxfId="12"/>
    <tableColumn id="4" xr3:uid="{5E195DB2-F772-44F3-8D78-31A6DECC1044}" name="Column4" dataDxfId="11"/>
    <tableColumn id="5" xr3:uid="{82AA006F-1795-4C32-B036-BB9D05EAFF8E}" name="Column5" dataDxfId="10">
      <calculatedColumnFormula>AVERAGE(B2:D2)</calculatedColumnFormula>
    </tableColumn>
    <tableColumn id="6" xr3:uid="{5479500E-16AA-4198-BC24-C06272C3AF87}" name="Column6" dataDxfId="9">
      <calculatedColumnFormula>IF(E2&lt;=32,"F", IF(E2&lt;=40, "D", IF(E2&lt;=50, "C", IF(E2&lt;=60, "C+", IF(E2&lt;=65, "B", IF(E2&lt;=70, "A-", IF(E2&lt;=79, "A", IF(E2&lt;=100, "A+"))))))))</calculatedColumnFormula>
    </tableColumn>
    <tableColumn id="7" xr3:uid="{CF8FC246-D4D2-4A82-854D-FE56003E5CD9}" name="Column7" dataDxfId="8">
      <calculatedColumnFormula>IF(E2&gt;=33, "Pass", "Failed")</calculatedColumnFormula>
    </tableColumn>
    <tableColumn id="8" xr3:uid="{DF6EB82E-D430-4F52-858B-AC9609C158C6}" name="Column8" dataDxfId="7">
      <calculatedColumnFormula>MAX(E2:E10)</calculatedColumnFormula>
    </tableColumn>
    <tableColumn id="9" xr3:uid="{3851D31A-840A-478B-A359-5C50AD8E59A9}" name="Column9" dataDxfId="6">
      <calculatedColumnFormula>MIN(E2:E32)</calculatedColumnFormula>
    </tableColumn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AB6E7-8FD8-4003-9049-ACDA0EF4A5EE}">
  <sheetPr>
    <pageSetUpPr fitToPage="1"/>
  </sheetPr>
  <dimension ref="A1:I34"/>
  <sheetViews>
    <sheetView tabSelected="1" topLeftCell="N1" zoomScale="85" zoomScaleNormal="85" workbookViewId="0">
      <selection activeCell="Q17" sqref="Q17"/>
    </sheetView>
  </sheetViews>
  <sheetFormatPr defaultRowHeight="15" x14ac:dyDescent="0.25"/>
  <cols>
    <col min="1" max="1" width="1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4">
        <v>1</v>
      </c>
      <c r="B2" s="4">
        <v>23</v>
      </c>
      <c r="C2" s="4">
        <v>30</v>
      </c>
      <c r="D2" s="4">
        <v>25</v>
      </c>
      <c r="E2" s="5">
        <f t="shared" ref="E2:E11" si="0">AVERAGE(B2:D2)</f>
        <v>26</v>
      </c>
      <c r="F2" s="5" t="str">
        <f>IF(E2&lt;=32,"F", IF(E2&lt;=40, "D", IF(E2&lt;=50, "C", IF(E2&lt;=60, "C+", IF(E2&lt;=65, "B", IF(E2&lt;=70, "A-", IF(E2&lt;=79, "A", IF(E2&lt;=100, "A+"))))))))</f>
        <v>F</v>
      </c>
      <c r="G2" s="6" t="str">
        <f t="shared" ref="G2:G11" si="1">IF(E2&gt;=33, "Pass", "Failed")</f>
        <v>Failed</v>
      </c>
      <c r="H2" s="5">
        <f>MAX(E2:E10)</f>
        <v>84</v>
      </c>
      <c r="I2" s="5">
        <f>MIN(E2:E32)</f>
        <v>26</v>
      </c>
    </row>
    <row r="3" spans="1:9" x14ac:dyDescent="0.25">
      <c r="A3" s="4">
        <v>9</v>
      </c>
      <c r="B3" s="4">
        <v>25</v>
      </c>
      <c r="C3" s="4">
        <v>30</v>
      </c>
      <c r="D3" s="4">
        <v>23</v>
      </c>
      <c r="E3" s="5">
        <f t="shared" si="0"/>
        <v>26</v>
      </c>
      <c r="F3" s="5" t="str">
        <f t="shared" ref="F3:F11" si="2">IF(E3&lt;=32,"F", IF(E3&lt;=40, "D", IF(E3&lt;=50, "C", IF(E3&lt;=60, "C+", IF(E3&lt;=65, "B", IF(E3&lt;=70, "A-", IF(E3&lt;=79, "A", IF(E3&lt;=100, "A+"))))))))</f>
        <v>F</v>
      </c>
      <c r="G3" s="6" t="str">
        <f t="shared" si="1"/>
        <v>Failed</v>
      </c>
      <c r="H3" s="5">
        <f t="shared" ref="H3:H11" si="3">MAX(E3:E11)</f>
        <v>91</v>
      </c>
      <c r="I3" s="5">
        <f t="shared" ref="I3:I11" si="4">MIN(E3:E12)</f>
        <v>26</v>
      </c>
    </row>
    <row r="4" spans="1:9" x14ac:dyDescent="0.25">
      <c r="A4" s="4">
        <v>9</v>
      </c>
      <c r="B4" s="4">
        <v>45</v>
      </c>
      <c r="C4" s="4">
        <v>77</v>
      </c>
      <c r="D4" s="4">
        <v>22</v>
      </c>
      <c r="E4" s="5">
        <f t="shared" si="0"/>
        <v>48</v>
      </c>
      <c r="F4" s="5" t="str">
        <f t="shared" si="2"/>
        <v>C</v>
      </c>
      <c r="G4" s="6" t="str">
        <f t="shared" si="1"/>
        <v>Pass</v>
      </c>
      <c r="H4" s="5">
        <f t="shared" si="3"/>
        <v>91</v>
      </c>
      <c r="I4" s="5">
        <f t="shared" si="4"/>
        <v>48</v>
      </c>
    </row>
    <row r="5" spans="1:9" x14ac:dyDescent="0.25">
      <c r="A5" s="4">
        <v>9</v>
      </c>
      <c r="B5" s="4">
        <v>85</v>
      </c>
      <c r="C5" s="4">
        <v>44</v>
      </c>
      <c r="D5" s="4">
        <v>28</v>
      </c>
      <c r="E5" s="5">
        <f t="shared" si="0"/>
        <v>52.333333333333336</v>
      </c>
      <c r="F5" s="5" t="str">
        <f t="shared" si="2"/>
        <v>C+</v>
      </c>
      <c r="G5" s="6" t="str">
        <f t="shared" si="1"/>
        <v>Pass</v>
      </c>
      <c r="H5" s="5">
        <f t="shared" si="3"/>
        <v>91</v>
      </c>
      <c r="I5" s="5">
        <f t="shared" si="4"/>
        <v>52.333333333333336</v>
      </c>
    </row>
    <row r="6" spans="1:9" x14ac:dyDescent="0.25">
      <c r="A6" s="4">
        <v>9</v>
      </c>
      <c r="B6" s="4">
        <v>35</v>
      </c>
      <c r="C6" s="4">
        <v>98</v>
      </c>
      <c r="D6" s="4">
        <v>41</v>
      </c>
      <c r="E6" s="5">
        <f t="shared" si="0"/>
        <v>58</v>
      </c>
      <c r="F6" s="5" t="str">
        <f t="shared" si="2"/>
        <v>C+</v>
      </c>
      <c r="G6" s="6" t="str">
        <f t="shared" si="1"/>
        <v>Pass</v>
      </c>
      <c r="H6" s="5">
        <f t="shared" si="3"/>
        <v>91</v>
      </c>
      <c r="I6" s="5">
        <f t="shared" si="4"/>
        <v>58</v>
      </c>
    </row>
    <row r="7" spans="1:9" x14ac:dyDescent="0.25">
      <c r="A7" s="4">
        <v>9</v>
      </c>
      <c r="B7" s="4">
        <v>45</v>
      </c>
      <c r="C7" s="4">
        <v>35</v>
      </c>
      <c r="D7" s="4">
        <v>95</v>
      </c>
      <c r="E7" s="5">
        <f t="shared" si="0"/>
        <v>58.333333333333336</v>
      </c>
      <c r="F7" s="5" t="str">
        <f t="shared" si="2"/>
        <v>C+</v>
      </c>
      <c r="G7" s="6" t="str">
        <f t="shared" si="1"/>
        <v>Pass</v>
      </c>
      <c r="H7" s="5">
        <f t="shared" si="3"/>
        <v>91</v>
      </c>
      <c r="I7" s="5">
        <f t="shared" si="4"/>
        <v>58.333333333333336</v>
      </c>
    </row>
    <row r="8" spans="1:9" x14ac:dyDescent="0.25">
      <c r="A8" s="4">
        <v>9</v>
      </c>
      <c r="B8" s="4">
        <v>54</v>
      </c>
      <c r="C8" s="4">
        <v>79</v>
      </c>
      <c r="D8" s="4">
        <v>45</v>
      </c>
      <c r="E8" s="5">
        <f t="shared" si="0"/>
        <v>59.333333333333336</v>
      </c>
      <c r="F8" s="5" t="str">
        <f t="shared" si="2"/>
        <v>C+</v>
      </c>
      <c r="G8" s="6" t="str">
        <f t="shared" si="1"/>
        <v>Pass</v>
      </c>
      <c r="H8" s="5">
        <f t="shared" si="3"/>
        <v>91</v>
      </c>
      <c r="I8" s="5">
        <f t="shared" si="4"/>
        <v>59.333333333333336</v>
      </c>
    </row>
    <row r="9" spans="1:9" x14ac:dyDescent="0.25">
      <c r="A9" s="4">
        <v>9</v>
      </c>
      <c r="B9" s="4">
        <v>92</v>
      </c>
      <c r="C9" s="4">
        <v>82</v>
      </c>
      <c r="D9" s="4">
        <v>38</v>
      </c>
      <c r="E9" s="5">
        <f t="shared" si="0"/>
        <v>70.666666666666671</v>
      </c>
      <c r="F9" s="5" t="str">
        <f t="shared" si="2"/>
        <v>A</v>
      </c>
      <c r="G9" s="6" t="str">
        <f t="shared" si="1"/>
        <v>Pass</v>
      </c>
      <c r="H9" s="5">
        <f t="shared" si="3"/>
        <v>91</v>
      </c>
      <c r="I9" s="5">
        <f t="shared" si="4"/>
        <v>70.666666666666671</v>
      </c>
    </row>
    <row r="10" spans="1:9" x14ac:dyDescent="0.25">
      <c r="A10" s="4">
        <v>9</v>
      </c>
      <c r="B10" s="4">
        <v>78</v>
      </c>
      <c r="C10" s="4">
        <v>96</v>
      </c>
      <c r="D10" s="4">
        <v>78</v>
      </c>
      <c r="E10" s="5">
        <f t="shared" si="0"/>
        <v>84</v>
      </c>
      <c r="F10" s="5" t="str">
        <f t="shared" si="2"/>
        <v>A+</v>
      </c>
      <c r="G10" s="6" t="str">
        <f t="shared" si="1"/>
        <v>Pass</v>
      </c>
      <c r="H10" s="5">
        <f t="shared" si="3"/>
        <v>91</v>
      </c>
      <c r="I10" s="5">
        <f t="shared" si="4"/>
        <v>84</v>
      </c>
    </row>
    <row r="11" spans="1:9" x14ac:dyDescent="0.25">
      <c r="A11" s="4">
        <v>9</v>
      </c>
      <c r="B11" s="4">
        <v>96</v>
      </c>
      <c r="C11" s="4">
        <v>96</v>
      </c>
      <c r="D11" s="4">
        <v>81</v>
      </c>
      <c r="E11" s="5">
        <f t="shared" si="0"/>
        <v>91</v>
      </c>
      <c r="F11" s="5" t="str">
        <f t="shared" si="2"/>
        <v>A+</v>
      </c>
      <c r="G11" s="6" t="str">
        <f t="shared" si="1"/>
        <v>Pass</v>
      </c>
      <c r="H11" s="5">
        <f t="shared" si="3"/>
        <v>91</v>
      </c>
      <c r="I11" s="5">
        <f t="shared" si="4"/>
        <v>91</v>
      </c>
    </row>
    <row r="12" spans="1:9" x14ac:dyDescent="0.25">
      <c r="A12" s="4">
        <v>9</v>
      </c>
      <c r="B12" s="4">
        <v>96</v>
      </c>
      <c r="C12" s="4">
        <v>96</v>
      </c>
      <c r="D12" s="4">
        <v>81</v>
      </c>
      <c r="E12" s="5">
        <f t="shared" ref="E12:E17" si="5">AVERAGE(B12:D12)</f>
        <v>91</v>
      </c>
      <c r="F12" s="5" t="str">
        <f t="shared" ref="F12:F17" si="6">IF(E12&lt;=32,"F", IF(E12&lt;=40, "D", IF(E12&lt;=50, "C", IF(E12&lt;=60, "C+", IF(E12&lt;=65, "B", IF(E12&lt;=70, "A-", IF(E12&lt;=79, "A", IF(E12&lt;=100, "A+"))))))))</f>
        <v>A+</v>
      </c>
      <c r="G12" s="6" t="str">
        <f t="shared" ref="G12:G17" si="7">IF(E12&gt;=33, "Pass", "Failed")</f>
        <v>Pass</v>
      </c>
      <c r="H12" s="5">
        <f t="shared" ref="H12:H17" si="8">MAX(E12:E20)</f>
        <v>91</v>
      </c>
      <c r="I12" s="5">
        <f t="shared" ref="I12:I17" si="9">MIN(E12:E27)</f>
        <v>91</v>
      </c>
    </row>
    <row r="13" spans="1:9" x14ac:dyDescent="0.25">
      <c r="A13" s="4">
        <v>9</v>
      </c>
      <c r="B13" s="4">
        <v>96</v>
      </c>
      <c r="C13" s="4">
        <v>96</v>
      </c>
      <c r="D13" s="4">
        <v>81</v>
      </c>
      <c r="E13" s="5">
        <f t="shared" si="5"/>
        <v>91</v>
      </c>
      <c r="F13" s="5" t="str">
        <f t="shared" si="6"/>
        <v>A+</v>
      </c>
      <c r="G13" s="6" t="str">
        <f t="shared" si="7"/>
        <v>Pass</v>
      </c>
      <c r="H13" s="5">
        <f t="shared" si="8"/>
        <v>91</v>
      </c>
      <c r="I13" s="5">
        <f t="shared" si="9"/>
        <v>91</v>
      </c>
    </row>
    <row r="14" spans="1:9" x14ac:dyDescent="0.25">
      <c r="A14" s="4">
        <v>9</v>
      </c>
      <c r="B14" s="4">
        <v>96</v>
      </c>
      <c r="C14" s="4">
        <v>96</v>
      </c>
      <c r="D14" s="4">
        <v>81</v>
      </c>
      <c r="E14" s="5">
        <f t="shared" si="5"/>
        <v>91</v>
      </c>
      <c r="F14" s="5" t="str">
        <f t="shared" si="6"/>
        <v>A+</v>
      </c>
      <c r="G14" s="6" t="str">
        <f t="shared" si="7"/>
        <v>Pass</v>
      </c>
      <c r="H14" s="5">
        <f t="shared" si="8"/>
        <v>91</v>
      </c>
      <c r="I14" s="5">
        <f t="shared" si="9"/>
        <v>91</v>
      </c>
    </row>
    <row r="15" spans="1:9" x14ac:dyDescent="0.25">
      <c r="A15" s="4">
        <v>9</v>
      </c>
      <c r="B15" s="4">
        <v>96</v>
      </c>
      <c r="C15" s="4">
        <v>96</v>
      </c>
      <c r="D15" s="4">
        <v>81</v>
      </c>
      <c r="E15" s="5">
        <f t="shared" si="5"/>
        <v>91</v>
      </c>
      <c r="F15" s="5" t="str">
        <f t="shared" si="6"/>
        <v>A+</v>
      </c>
      <c r="G15" s="6" t="str">
        <f t="shared" si="7"/>
        <v>Pass</v>
      </c>
      <c r="H15" s="5">
        <f t="shared" si="8"/>
        <v>91</v>
      </c>
      <c r="I15" s="5">
        <f t="shared" si="9"/>
        <v>91</v>
      </c>
    </row>
    <row r="16" spans="1:9" x14ac:dyDescent="0.25">
      <c r="A16" s="4">
        <v>9</v>
      </c>
      <c r="B16" s="4">
        <v>96</v>
      </c>
      <c r="C16" s="4">
        <v>96</v>
      </c>
      <c r="D16" s="4">
        <v>81</v>
      </c>
      <c r="E16" s="5">
        <f t="shared" si="5"/>
        <v>91</v>
      </c>
      <c r="F16" s="5" t="str">
        <f t="shared" si="6"/>
        <v>A+</v>
      </c>
      <c r="G16" s="6" t="str">
        <f t="shared" si="7"/>
        <v>Pass</v>
      </c>
      <c r="H16" s="5">
        <f t="shared" si="8"/>
        <v>91</v>
      </c>
      <c r="I16" s="5">
        <f t="shared" si="9"/>
        <v>91</v>
      </c>
    </row>
    <row r="17" spans="1:9" x14ac:dyDescent="0.25">
      <c r="A17" s="4">
        <v>9</v>
      </c>
      <c r="B17" s="4">
        <v>96</v>
      </c>
      <c r="C17" s="4">
        <v>96</v>
      </c>
      <c r="D17" s="4">
        <v>81</v>
      </c>
      <c r="E17" s="5">
        <f t="shared" si="5"/>
        <v>91</v>
      </c>
      <c r="F17" s="5" t="str">
        <f t="shared" si="6"/>
        <v>A+</v>
      </c>
      <c r="G17" s="6" t="str">
        <f t="shared" si="7"/>
        <v>Pass</v>
      </c>
      <c r="H17" s="5">
        <f t="shared" si="8"/>
        <v>91</v>
      </c>
      <c r="I17" s="5">
        <f t="shared" si="9"/>
        <v>91</v>
      </c>
    </row>
    <row r="18" spans="1:9" x14ac:dyDescent="0.25">
      <c r="A18" s="4">
        <v>9</v>
      </c>
      <c r="B18" s="4">
        <v>96</v>
      </c>
      <c r="C18" s="4">
        <v>96</v>
      </c>
      <c r="D18" s="4">
        <v>81</v>
      </c>
      <c r="E18" s="5">
        <f t="shared" ref="E18:E26" si="10">AVERAGE(B18:D18)</f>
        <v>91</v>
      </c>
      <c r="F18" s="5" t="str">
        <f t="shared" ref="F18:F26" si="11">IF(E18&lt;=32,"F", IF(E18&lt;=40, "D", IF(E18&lt;=50, "C", IF(E18&lt;=60, "C+", IF(E18&lt;=65, "B", IF(E18&lt;=70, "A-", IF(E18&lt;=79, "A", IF(E18&lt;=100, "A+"))))))))</f>
        <v>A+</v>
      </c>
      <c r="G18" s="6" t="str">
        <f t="shared" ref="G18:G26" si="12">IF(E18&gt;=33, "Pass", "Failed")</f>
        <v>Pass</v>
      </c>
      <c r="H18" s="5">
        <f t="shared" ref="H18:H26" si="13">MAX(E18:E26)</f>
        <v>91</v>
      </c>
      <c r="I18" s="5" t="e">
        <f>MIN(#REF!)</f>
        <v>#REF!</v>
      </c>
    </row>
    <row r="19" spans="1:9" x14ac:dyDescent="0.25">
      <c r="A19" s="4">
        <v>9</v>
      </c>
      <c r="B19" s="4">
        <v>96</v>
      </c>
      <c r="C19" s="4">
        <v>96</v>
      </c>
      <c r="D19" s="4">
        <v>81</v>
      </c>
      <c r="E19" s="5">
        <f t="shared" si="10"/>
        <v>91</v>
      </c>
      <c r="F19" s="5" t="str">
        <f t="shared" si="11"/>
        <v>A+</v>
      </c>
      <c r="G19" s="6" t="str">
        <f t="shared" si="12"/>
        <v>Pass</v>
      </c>
      <c r="H19" s="5">
        <f t="shared" si="13"/>
        <v>91</v>
      </c>
      <c r="I19" s="5" t="e">
        <f>MIN(#REF!)</f>
        <v>#REF!</v>
      </c>
    </row>
    <row r="20" spans="1:9" x14ac:dyDescent="0.25">
      <c r="A20" s="4">
        <v>9</v>
      </c>
      <c r="B20" s="4">
        <v>96</v>
      </c>
      <c r="C20" s="4">
        <v>96</v>
      </c>
      <c r="D20" s="4">
        <v>81</v>
      </c>
      <c r="E20" s="5">
        <f t="shared" si="10"/>
        <v>91</v>
      </c>
      <c r="F20" s="5" t="str">
        <f t="shared" si="11"/>
        <v>A+</v>
      </c>
      <c r="G20" s="6" t="str">
        <f t="shared" si="12"/>
        <v>Pass</v>
      </c>
      <c r="H20" s="5">
        <f t="shared" si="13"/>
        <v>91</v>
      </c>
      <c r="I20" s="5" t="e">
        <f>MIN(#REF!)</f>
        <v>#REF!</v>
      </c>
    </row>
    <row r="21" spans="1:9" x14ac:dyDescent="0.25">
      <c r="A21" s="4">
        <v>9</v>
      </c>
      <c r="B21" s="4">
        <v>96</v>
      </c>
      <c r="C21" s="4">
        <v>96</v>
      </c>
      <c r="D21" s="4">
        <v>81</v>
      </c>
      <c r="E21" s="5">
        <f t="shared" si="10"/>
        <v>91</v>
      </c>
      <c r="F21" s="5" t="str">
        <f t="shared" si="11"/>
        <v>A+</v>
      </c>
      <c r="G21" s="6" t="str">
        <f t="shared" si="12"/>
        <v>Pass</v>
      </c>
      <c r="H21" s="5">
        <f t="shared" si="13"/>
        <v>91</v>
      </c>
      <c r="I21" s="5" t="e">
        <f>MIN(#REF!)</f>
        <v>#REF!</v>
      </c>
    </row>
    <row r="22" spans="1:9" x14ac:dyDescent="0.25">
      <c r="A22" s="4">
        <v>9</v>
      </c>
      <c r="B22" s="4">
        <v>96</v>
      </c>
      <c r="C22" s="4">
        <v>96</v>
      </c>
      <c r="D22" s="4">
        <v>81</v>
      </c>
      <c r="E22" s="5">
        <f t="shared" si="10"/>
        <v>91</v>
      </c>
      <c r="F22" s="5" t="str">
        <f>IF(E22&lt;=32,"F", IF(E22&lt;=40, "D", IF(E22&lt;=50, "C", IF(E22&lt;=60, "C+", IF(E22&lt;=65, "B", IF(E22&lt;=70, "A-", IF(E22&lt;=79, "A", IF(E22&lt;=100, "A+"))))))))</f>
        <v>A+</v>
      </c>
      <c r="G22" s="6" t="str">
        <f t="shared" si="12"/>
        <v>Pass</v>
      </c>
      <c r="H22" s="5">
        <f t="shared" si="13"/>
        <v>91</v>
      </c>
      <c r="I22" s="5" t="e">
        <f>MIN(#REF!)</f>
        <v>#REF!</v>
      </c>
    </row>
    <row r="23" spans="1:9" x14ac:dyDescent="0.25">
      <c r="A23" s="4">
        <v>9</v>
      </c>
      <c r="B23" s="4">
        <v>96</v>
      </c>
      <c r="C23" s="4">
        <v>96</v>
      </c>
      <c r="D23" s="4">
        <v>81</v>
      </c>
      <c r="E23" s="5">
        <f t="shared" si="10"/>
        <v>91</v>
      </c>
      <c r="F23" s="5" t="str">
        <f t="shared" si="11"/>
        <v>A+</v>
      </c>
      <c r="G23" s="6" t="str">
        <f t="shared" si="12"/>
        <v>Pass</v>
      </c>
      <c r="H23" s="5">
        <f t="shared" si="13"/>
        <v>91</v>
      </c>
      <c r="I23" s="5" t="e">
        <f>MIN(#REF!)</f>
        <v>#REF!</v>
      </c>
    </row>
    <row r="24" spans="1:9" x14ac:dyDescent="0.25">
      <c r="A24" s="4">
        <v>9</v>
      </c>
      <c r="B24" s="4">
        <v>96</v>
      </c>
      <c r="C24" s="4">
        <v>96</v>
      </c>
      <c r="D24" s="4">
        <v>81</v>
      </c>
      <c r="E24" s="5">
        <f t="shared" si="10"/>
        <v>91</v>
      </c>
      <c r="F24" s="5" t="str">
        <f t="shared" si="11"/>
        <v>A+</v>
      </c>
      <c r="G24" s="6" t="str">
        <f t="shared" si="12"/>
        <v>Pass</v>
      </c>
      <c r="H24" s="5">
        <f t="shared" si="13"/>
        <v>91</v>
      </c>
      <c r="I24" s="5" t="e">
        <f>MIN(#REF!)</f>
        <v>#REF!</v>
      </c>
    </row>
    <row r="25" spans="1:9" x14ac:dyDescent="0.25">
      <c r="A25" s="4">
        <v>9</v>
      </c>
      <c r="B25" s="4">
        <v>96</v>
      </c>
      <c r="C25" s="4">
        <v>96</v>
      </c>
      <c r="D25" s="4">
        <v>81</v>
      </c>
      <c r="E25" s="5">
        <f t="shared" si="10"/>
        <v>91</v>
      </c>
      <c r="F25" s="5" t="str">
        <f t="shared" si="11"/>
        <v>A+</v>
      </c>
      <c r="G25" s="6" t="str">
        <f t="shared" si="12"/>
        <v>Pass</v>
      </c>
      <c r="H25" s="5">
        <f t="shared" si="13"/>
        <v>91</v>
      </c>
      <c r="I25" s="5" t="e">
        <f>MIN(#REF!)</f>
        <v>#REF!</v>
      </c>
    </row>
    <row r="26" spans="1:9" x14ac:dyDescent="0.25">
      <c r="A26" s="4">
        <v>9</v>
      </c>
      <c r="B26" s="4">
        <v>96</v>
      </c>
      <c r="C26" s="4">
        <v>96</v>
      </c>
      <c r="D26" s="4">
        <v>81</v>
      </c>
      <c r="E26" s="5">
        <f t="shared" si="10"/>
        <v>91</v>
      </c>
      <c r="F26" s="5" t="str">
        <f t="shared" si="11"/>
        <v>A+</v>
      </c>
      <c r="G26" s="6" t="str">
        <f t="shared" si="12"/>
        <v>Pass</v>
      </c>
      <c r="H26" s="5">
        <f t="shared" si="13"/>
        <v>91</v>
      </c>
      <c r="I26" s="5" t="e">
        <f>MIN(#REF!)</f>
        <v>#REF!</v>
      </c>
    </row>
    <row r="27" spans="1:9" x14ac:dyDescent="0.25">
      <c r="A27" s="4">
        <v>9</v>
      </c>
      <c r="B27" s="4">
        <v>96</v>
      </c>
      <c r="C27" s="4">
        <v>96</v>
      </c>
      <c r="D27" s="4">
        <v>81</v>
      </c>
      <c r="E27" s="5">
        <f t="shared" ref="E27:E30" si="14">AVERAGE(B27:D27)</f>
        <v>91</v>
      </c>
      <c r="F27" s="5" t="str">
        <f t="shared" ref="F27:F30" si="15">IF(E27&lt;=32,"F", IF(E27&lt;=40, "D", IF(E27&lt;=50, "C", IF(E27&lt;=60, "C+", IF(E27&lt;=65, "B", IF(E27&lt;=70, "A-", IF(E27&lt;=79, "A", IF(E27&lt;=100, "A+"))))))))</f>
        <v>A+</v>
      </c>
      <c r="G27" s="6" t="str">
        <f t="shared" ref="G27:G30" si="16">IF(E27&gt;=33, "Pass", "Failed")</f>
        <v>Pass</v>
      </c>
      <c r="H27" s="5" t="e">
        <f>MAX(#REF!)</f>
        <v>#REF!</v>
      </c>
      <c r="I27" s="5" t="e">
        <f>MIN(#REF!)</f>
        <v>#REF!</v>
      </c>
    </row>
    <row r="28" spans="1:9" x14ac:dyDescent="0.25">
      <c r="A28" s="4">
        <v>9</v>
      </c>
      <c r="B28" s="4">
        <v>96</v>
      </c>
      <c r="C28" s="4">
        <v>96</v>
      </c>
      <c r="D28" s="4">
        <v>81</v>
      </c>
      <c r="E28" s="5">
        <f t="shared" si="14"/>
        <v>91</v>
      </c>
      <c r="F28" s="5" t="str">
        <f t="shared" si="15"/>
        <v>A+</v>
      </c>
      <c r="G28" s="6" t="str">
        <f t="shared" si="16"/>
        <v>Pass</v>
      </c>
      <c r="H28" s="5" t="e">
        <f>MAX(#REF!)</f>
        <v>#REF!</v>
      </c>
      <c r="I28" s="5" t="e">
        <f>MIN(#REF!)</f>
        <v>#REF!</v>
      </c>
    </row>
    <row r="29" spans="1:9" x14ac:dyDescent="0.25">
      <c r="A29" s="4">
        <v>9</v>
      </c>
      <c r="B29" s="4">
        <v>96</v>
      </c>
      <c r="C29" s="4">
        <v>96</v>
      </c>
      <c r="D29" s="4">
        <v>81</v>
      </c>
      <c r="E29" s="5">
        <f t="shared" si="14"/>
        <v>91</v>
      </c>
      <c r="F29" s="5" t="str">
        <f t="shared" si="15"/>
        <v>A+</v>
      </c>
      <c r="G29" s="6" t="str">
        <f t="shared" si="16"/>
        <v>Pass</v>
      </c>
      <c r="H29" s="5" t="e">
        <f>MAX(#REF!)</f>
        <v>#REF!</v>
      </c>
      <c r="I29" s="5" t="e">
        <f>MIN(#REF!)</f>
        <v>#REF!</v>
      </c>
    </row>
    <row r="30" spans="1:9" x14ac:dyDescent="0.25">
      <c r="A30" s="4">
        <v>9</v>
      </c>
      <c r="B30" s="4">
        <v>96</v>
      </c>
      <c r="C30" s="4">
        <v>96</v>
      </c>
      <c r="D30" s="4">
        <v>81</v>
      </c>
      <c r="E30" s="5">
        <f t="shared" si="14"/>
        <v>91</v>
      </c>
      <c r="F30" s="5" t="str">
        <f t="shared" si="15"/>
        <v>A+</v>
      </c>
      <c r="G30" s="6" t="str">
        <f t="shared" si="16"/>
        <v>Pass</v>
      </c>
      <c r="H30" s="5" t="e">
        <f>MAX(#REF!)</f>
        <v>#REF!</v>
      </c>
      <c r="I30" s="5" t="e">
        <f>MIN(#REF!)</f>
        <v>#REF!</v>
      </c>
    </row>
    <row r="31" spans="1:9" x14ac:dyDescent="0.25">
      <c r="A31" s="4">
        <v>9</v>
      </c>
      <c r="B31" s="4">
        <v>96</v>
      </c>
      <c r="C31" s="4">
        <v>96</v>
      </c>
      <c r="D31" s="4">
        <v>81</v>
      </c>
      <c r="E31" s="5">
        <f t="shared" ref="E31:E32" si="17">AVERAGE(B31:D31)</f>
        <v>91</v>
      </c>
      <c r="F31" s="5" t="str">
        <f t="shared" ref="F31:F32" si="18">IF(E31&lt;=32,"F", IF(E31&lt;=40, "D", IF(E31&lt;=50, "C", IF(E31&lt;=60, "C+", IF(E31&lt;=65, "B", IF(E31&lt;=70, "A-", IF(E31&lt;=79, "A", IF(E31&lt;=100, "A+"))))))))</f>
        <v>A+</v>
      </c>
      <c r="G31" s="6" t="str">
        <f t="shared" ref="G31:G32" si="19">IF(E31&gt;=33, "Pass", "Failed")</f>
        <v>Pass</v>
      </c>
      <c r="H31" s="5" t="e">
        <f>MAX(#REF!)</f>
        <v>#REF!</v>
      </c>
      <c r="I31" s="5" t="e">
        <f>MIN(#REF!)</f>
        <v>#REF!</v>
      </c>
    </row>
    <row r="32" spans="1:9" x14ac:dyDescent="0.25">
      <c r="A32" s="4">
        <v>9</v>
      </c>
      <c r="B32" s="4">
        <v>96</v>
      </c>
      <c r="C32" s="4">
        <v>96</v>
      </c>
      <c r="D32" s="4">
        <v>81</v>
      </c>
      <c r="E32" s="5">
        <f t="shared" si="17"/>
        <v>91</v>
      </c>
      <c r="F32" s="5" t="str">
        <f t="shared" si="18"/>
        <v>A+</v>
      </c>
      <c r="G32" s="6" t="str">
        <f t="shared" si="19"/>
        <v>Pass</v>
      </c>
      <c r="H32" s="5" t="e">
        <f>MAX(#REF!)</f>
        <v>#REF!</v>
      </c>
      <c r="I32" s="5" t="e">
        <f>MIN(#REF!)</f>
        <v>#REF!</v>
      </c>
    </row>
    <row r="33" spans="4:7" x14ac:dyDescent="0.25">
      <c r="D33" s="1"/>
      <c r="F33" s="2"/>
      <c r="G33" s="2"/>
    </row>
    <row r="34" spans="4:7" x14ac:dyDescent="0.25">
      <c r="D34" s="1"/>
      <c r="F34" s="2"/>
      <c r="G34" s="2"/>
    </row>
  </sheetData>
  <conditionalFormatting sqref="A1:I1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">
    <cfRule type="cellIs" dxfId="5" priority="1" operator="equal">
      <formula>45</formula>
    </cfRule>
    <cfRule type="cellIs" dxfId="4" priority="2" operator="equal">
      <formula>45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32">
    <cfRule type="cellIs" dxfId="3" priority="4" operator="between">
      <formula>"F"</formula>
      <formula>"B"</formula>
    </cfRule>
  </conditionalFormatting>
  <conditionalFormatting sqref="H2:H32">
    <cfRule type="cellIs" dxfId="2" priority="5" operator="greaterThan">
      <formula>84</formula>
    </cfRule>
  </conditionalFormatting>
  <conditionalFormatting sqref="I2:I32">
    <cfRule type="cellIs" dxfId="1" priority="6" operator="greaterThan">
      <formula>26</formula>
    </cfRule>
    <cfRule type="containsText" dxfId="0" priority="7" operator="containsText" text="10000">
      <formula>NOT(ISERROR(SEARCH("10000",I2)))</formula>
    </cfRule>
  </conditionalFormatting>
  <printOptions horizontalCentered="1" verticalCentered="1"/>
  <pageMargins left="0.7" right="0.7" top="0.75" bottom="0.75" header="0.3" footer="0.3"/>
  <pageSetup scale="61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B54FF-F7D1-4A05-9BBA-C29C7B211852}">
  <dimension ref="D6:I28"/>
  <sheetViews>
    <sheetView workbookViewId="0">
      <selection activeCell="I7" sqref="I7:I12"/>
    </sheetView>
  </sheetViews>
  <sheetFormatPr defaultRowHeight="15" x14ac:dyDescent="0.25"/>
  <cols>
    <col min="7" max="7" width="15.140625" bestFit="1" customWidth="1"/>
    <col min="9" max="9" width="12.140625" bestFit="1" customWidth="1"/>
  </cols>
  <sheetData>
    <row r="6" spans="7:9" x14ac:dyDescent="0.25">
      <c r="G6" t="s">
        <v>9</v>
      </c>
      <c r="H6" t="s">
        <v>10</v>
      </c>
      <c r="I6" t="s">
        <v>11</v>
      </c>
    </row>
    <row r="7" spans="7:9" x14ac:dyDescent="0.25">
      <c r="H7">
        <v>2020</v>
      </c>
      <c r="I7">
        <v>24241</v>
      </c>
    </row>
    <row r="8" spans="7:9" x14ac:dyDescent="0.25">
      <c r="H8">
        <v>2021</v>
      </c>
      <c r="I8">
        <v>7454</v>
      </c>
    </row>
    <row r="9" spans="7:9" x14ac:dyDescent="0.25">
      <c r="H9">
        <v>2022</v>
      </c>
      <c r="I9">
        <v>24475</v>
      </c>
    </row>
    <row r="10" spans="7:9" x14ac:dyDescent="0.25">
      <c r="H10">
        <v>2023</v>
      </c>
      <c r="I10">
        <v>745</v>
      </c>
    </row>
    <row r="11" spans="7:9" x14ac:dyDescent="0.25">
      <c r="H11">
        <v>2024</v>
      </c>
      <c r="I11">
        <v>524</v>
      </c>
    </row>
    <row r="28" spans="4:4" x14ac:dyDescent="0.25">
      <c r="D28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Instructor PC</dc:creator>
  <cp:lastModifiedBy>Instructor PC</cp:lastModifiedBy>
  <cp:lastPrinted>2026-01-19T04:54:44Z</cp:lastPrinted>
  <dcterms:created xsi:type="dcterms:W3CDTF">2026-01-18T05:29:27Z</dcterms:created>
  <dcterms:modified xsi:type="dcterms:W3CDTF">2026-01-19T06:13:31Z</dcterms:modified>
</cp:coreProperties>
</file>